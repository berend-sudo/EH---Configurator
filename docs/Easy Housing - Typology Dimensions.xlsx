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tc={53df3615-29f8-4d36-a780-409a8d086b64}</author>
    <author>tc={80ee97df-9f34-4ca5-b98a-ba6d9058dbb2}</author>
  </authors>
  <commentList>
    <comment authorId="0" xr:uid="{53df3615-29f8-4d36-a780-409a8d086b64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@zani@easyhousing.org or @lucy@easyhousing.org please also fill out these two cells here
Reply:
	Marked as resolved
Reply:
	Thanks!
Re-opened
</t>
      </text>
    </comment>
    <comment authorId="1" xr:uid="{80ee97df-9f34-4ca5-b98a-ba6d9058dbb2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@zani@easyhousing.org - kindly fill out the missing cells here so that we can also export as a table! Thanks!
Assigned to zani@easyhousing.org
</t>
      </text>
    </comment>
  </commentList>
</comments>
</file>

<file path=xl/sharedStrings.xml><?xml version="1.0" encoding="utf-8"?>
<sst xmlns="http://schemas.openxmlformats.org/spreadsheetml/2006/main" count="31" uniqueCount="25">
  <si>
    <t xml:space="preserve">Easy Housing - Typology Dimensions </t>
  </si>
  <si>
    <t>Typology</t>
  </si>
  <si>
    <t>Sub Typology dimensions (mm) (if different then main typology)</t>
  </si>
  <si>
    <t>Building depth</t>
  </si>
  <si>
    <t xml:space="preserve">Roof inclination </t>
  </si>
  <si>
    <t>Ceiling height (low)</t>
  </si>
  <si>
    <t>Ceiling height (high)</t>
  </si>
  <si>
    <t>Ceiling height (avg)</t>
  </si>
  <si>
    <t>Eaves depth (front/back)</t>
  </si>
  <si>
    <t>Eaves depth (sides)</t>
  </si>
  <si>
    <t>Ceiling height low ceiling high</t>
  </si>
  <si>
    <t>Ceiling height low ceiling low</t>
  </si>
  <si>
    <t>Mono pitch</t>
  </si>
  <si>
    <t>Gable</t>
  </si>
  <si>
    <t>Small gable</t>
  </si>
  <si>
    <t>Compact gable</t>
  </si>
  <si>
    <t>Standard gable</t>
  </si>
  <si>
    <t>Large gable</t>
  </si>
  <si>
    <t>A frame</t>
  </si>
  <si>
    <t>Small A frame</t>
  </si>
  <si>
    <t>Normal A frame</t>
  </si>
  <si>
    <t>Large A frame</t>
  </si>
  <si>
    <t>Clerestory</t>
  </si>
  <si>
    <t>Standard clerestory</t>
  </si>
  <si>
    <t>Large clerestory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</si>
</sst>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2" numFmtId="0" xfId="0" applyFill="1" applyFont="1"/>
    <xf borderId="0" fillId="3" fontId="2" numFmtId="0" xfId="0" applyFill="1" applyFont="1"/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b5434880-20b7-4e9f-998c-cbd4a701dfc1}">
    <Anchor>
      <Comment id="{80ee97df-9f34-4ca5-b98a-ba6d9058dbb2}"/>
    </Anchor>
    <History>
      <Event time="2025-07-14T14:43:40.00" id="{9e415381-9824-4c96-8306-4e611848addd}">
        <Attribution userId="placeholder@email.com" userName="Wolf Bierens" userProvider="google-sheets"/>
        <Anchor>
          <Comment id="{80ee97df-9f34-4ca5-b98a-ba6d9058dbb2}"/>
        </Anchor>
        <Create/>
      </Event>
      <Event time="2025-07-14T14:43:40.00" id="{722443c6-49ca-46a3-9054-db20d35068fd}">
        <Attribution userId="placeholder@email.com" userName="Wolf Bierens" userProvider="google-sheets"/>
        <Anchor>
          <Comment id="{80ee97df-9f34-4ca5-b98a-ba6d9058dbb2}"/>
        </Anchor>
        <Assign userId="zani@easyhousing.org" userName="zani@easyhousing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zani@easyhousing.org" id="{132f3b99-8c6f-454c-a654-6b8d2b2f0b85}" userId="zani@easyhousing.org" providerId="google-sheets"/>
  <x18tc:person displayName="Lucy Nitusiima" id="{d131162f-a74e-4bd9-84a1-6db7692e0257}" providerId="google-sheets"/>
  <x18tc:person displayName="lucy@easyhousing.org" id="{bf446648-957e-4cb8-98ec-73eb488d277b}" userId="lucy@easyhousing.org" providerId="google-sheets"/>
  <x18tc:person displayName="Wolf Bierens" id="{cea11e5b-4065-4023-b7be-cd82755ca5e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4" dT="2025-07-22T11:23:16.00" personId="{cea11e5b-4065-4023-b7be-cd82755ca5ed}" id="{53df3615-29f8-4d36-a780-409a8d086b64}" done="1">
    <x18tc:text xml:space="preserve">@zani@easyhousing.org or @lucy@easyhousing.org please also fill out these two cells here</x18tc:text>
    <x18tc:mentions>
      <x18tc:mention mentionpersonId="{132f3b99-8c6f-454c-a654-6b8d2b2f0b85}" mentionId="{3a1d9898-daf8-4626-bebc-6308b5707b08}" startIndex="0" length="21"/>
      <x18tc:mention mentionpersonId="{bf446648-957e-4cb8-98ec-73eb488d277b}" mentionId="{82a29c63-4d29-4b84-ab7e-7b1144c9c8a8}" startIndex="25" length="21"/>
    </x18tc:mentions>
  </x18tc:threadedComment>
  <x18tc:threadedComment ref="K14" dT="2025-07-22T11:44:24.00" personId="{d131162f-a74e-4bd9-84a1-6db7692e0257}" id="{52966008-141e-4aaa-ad47-255b64a306e6}" parentId="{53df3615-29f8-4d36-a780-409a8d086b64}">
    <x18tc:text xml:space="preserve">Marked as resolved</x18tc:text>
  </x18tc:threadedComment>
  <x18tc:threadedComment ref="K14" dT="2025-07-22T12:02:57.00" personId="{cea11e5b-4065-4023-b7be-cd82755ca5ed}" id="{80512bc6-22be-4cc8-9461-a2a629afa3e6}" parentId="{53df3615-29f8-4d36-a780-409a8d086b64}">
    <x18tc:text xml:space="preserve">Thanks!
Re-opened</x18tc:text>
  </x18tc:threadedComment>
  <x18tc:threadedComment ref="B1" dT="2025-07-14T14:43:40.00" personId="{cea11e5b-4065-4023-b7be-cd82755ca5ed}" id="{80ee97df-9f34-4ca5-b98a-ba6d9058dbb2}" done="0">
    <x18tc:text xml:space="preserve">@zani@easyhousing.org - kindly fill out the missing cells here so that we can also export as a table! Thanks!
Assigned to zani@easyhousing.org</x18tc:text>
    <x18tc:mentions>
      <x18tc:mention mentionpersonId="{132f3b99-8c6f-454c-a654-6b8d2b2f0b85}" mentionId="{44b0b2fc-5f97-495c-9434-889e595afa7c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75"/>
    <col customWidth="1" min="3" max="10" width="18.0"/>
    <col customWidth="1" min="11" max="11" width="27.5"/>
    <col customWidth="1" min="12" max="13" width="18.0"/>
  </cols>
  <sheetData>
    <row r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1</v>
      </c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3"/>
      <c r="K4" s="3" t="s">
        <v>10</v>
      </c>
      <c r="L4" s="3" t="s">
        <v>11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1" t="s">
        <v>12</v>
      </c>
      <c r="C5" s="6">
        <f>2442*2+88</f>
        <v>4972</v>
      </c>
      <c r="D5" s="7">
        <v>5.0</v>
      </c>
      <c r="E5" s="7">
        <v>2575.0</v>
      </c>
      <c r="F5" s="7">
        <v>2991.0</v>
      </c>
      <c r="G5" s="8">
        <f t="shared" ref="G5:G14" si="1">(E5+F5)/2</f>
        <v>2783</v>
      </c>
      <c r="H5" s="7">
        <v>415.0</v>
      </c>
      <c r="I5" s="7">
        <v>310.0</v>
      </c>
      <c r="J5" s="2"/>
      <c r="K5" s="9"/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13</v>
      </c>
      <c r="B6" s="1" t="s">
        <v>14</v>
      </c>
      <c r="C6" s="6">
        <f>C5</f>
        <v>4972</v>
      </c>
      <c r="D6" s="7">
        <v>40.0</v>
      </c>
      <c r="E6" s="7">
        <f>E5</f>
        <v>2575</v>
      </c>
      <c r="F6" s="7">
        <v>4625.0</v>
      </c>
      <c r="G6" s="8">
        <f t="shared" si="1"/>
        <v>3600</v>
      </c>
      <c r="H6" s="7">
        <v>415.0</v>
      </c>
      <c r="I6" s="7">
        <v>310.0</v>
      </c>
      <c r="J6" s="2"/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13</v>
      </c>
      <c r="B7" s="1" t="s">
        <v>15</v>
      </c>
      <c r="C7" s="6">
        <f>3053*2+88</f>
        <v>6194</v>
      </c>
      <c r="D7" s="7">
        <v>10.0</v>
      </c>
      <c r="E7" s="7">
        <v>2659.0</v>
      </c>
      <c r="F7" s="7">
        <v>3178.0</v>
      </c>
      <c r="G7" s="8">
        <f t="shared" si="1"/>
        <v>2918.5</v>
      </c>
      <c r="H7" s="7">
        <v>480.0</v>
      </c>
      <c r="I7" s="7">
        <v>470.0</v>
      </c>
      <c r="J7" s="2"/>
      <c r="K7" s="9"/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13</v>
      </c>
      <c r="B8" s="1" t="s">
        <v>16</v>
      </c>
      <c r="C8" s="6">
        <f>2442*3+88</f>
        <v>7414</v>
      </c>
      <c r="D8" s="7">
        <v>10.0</v>
      </c>
      <c r="E8" s="7">
        <v>2661.0</v>
      </c>
      <c r="F8" s="7">
        <v>3286.0</v>
      </c>
      <c r="G8" s="8">
        <f t="shared" si="1"/>
        <v>2973.5</v>
      </c>
      <c r="H8" s="7">
        <v>480.0</v>
      </c>
      <c r="I8" s="7">
        <v>470.0</v>
      </c>
      <c r="J8" s="2"/>
      <c r="K8" s="9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13</v>
      </c>
      <c r="B9" s="1" t="s">
        <v>17</v>
      </c>
      <c r="C9" s="6">
        <f>2442*4+88</f>
        <v>9856</v>
      </c>
      <c r="D9" s="7">
        <v>10.0</v>
      </c>
      <c r="E9" s="7">
        <v>2669.0</v>
      </c>
      <c r="F9" s="7">
        <v>3512.0</v>
      </c>
      <c r="G9" s="8">
        <f t="shared" si="1"/>
        <v>3090.5</v>
      </c>
      <c r="H9" s="7">
        <v>558.0</v>
      </c>
      <c r="I9" s="7">
        <v>470.0</v>
      </c>
      <c r="J9" s="2"/>
      <c r="K9" s="10"/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18</v>
      </c>
      <c r="B10" s="1" t="s">
        <v>19</v>
      </c>
      <c r="C10" s="11">
        <v>3663.0</v>
      </c>
      <c r="D10" s="7">
        <v>60.0</v>
      </c>
      <c r="E10" s="7">
        <v>0.0</v>
      </c>
      <c r="F10" s="7">
        <v>3256.0</v>
      </c>
      <c r="G10" s="8">
        <f t="shared" si="1"/>
        <v>1628</v>
      </c>
      <c r="H10" s="7">
        <v>0.0</v>
      </c>
      <c r="I10" s="7">
        <v>300.0</v>
      </c>
      <c r="J10" s="12"/>
      <c r="K10" s="7"/>
      <c r="L10" s="1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18</v>
      </c>
      <c r="B11" s="1" t="s">
        <v>20</v>
      </c>
      <c r="C11" s="11">
        <v>4884.0</v>
      </c>
      <c r="D11" s="7">
        <v>60.0</v>
      </c>
      <c r="E11" s="7">
        <v>0.0</v>
      </c>
      <c r="F11" s="7">
        <v>4230.0</v>
      </c>
      <c r="G11" s="8">
        <f t="shared" si="1"/>
        <v>2115</v>
      </c>
      <c r="H11" s="7">
        <v>0.0</v>
      </c>
      <c r="I11" s="7">
        <v>300.0</v>
      </c>
      <c r="J11" s="12"/>
      <c r="K11" s="7"/>
      <c r="L11" s="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18</v>
      </c>
      <c r="B12" s="1" t="s">
        <v>21</v>
      </c>
      <c r="C12" s="11">
        <v>6106.0</v>
      </c>
      <c r="D12" s="7">
        <v>60.0</v>
      </c>
      <c r="E12" s="7">
        <v>0.0</v>
      </c>
      <c r="F12" s="7">
        <v>5288.0</v>
      </c>
      <c r="G12" s="8">
        <f t="shared" si="1"/>
        <v>2644</v>
      </c>
      <c r="H12" s="7">
        <v>0.0</v>
      </c>
      <c r="I12" s="7">
        <v>300.0</v>
      </c>
      <c r="J12" s="12"/>
      <c r="K12" s="7"/>
      <c r="L12" s="1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22</v>
      </c>
      <c r="B13" s="1" t="s">
        <v>23</v>
      </c>
      <c r="C13" s="6">
        <f>2442*3+88</f>
        <v>7414</v>
      </c>
      <c r="D13" s="7">
        <v>10.0</v>
      </c>
      <c r="E13" s="7">
        <v>2873.0</v>
      </c>
      <c r="F13" s="7">
        <v>3855.0</v>
      </c>
      <c r="G13" s="8">
        <f t="shared" si="1"/>
        <v>3364</v>
      </c>
      <c r="H13" s="7">
        <v>375.0</v>
      </c>
      <c r="I13" s="7">
        <v>380.0</v>
      </c>
      <c r="J13" s="12"/>
      <c r="K13" s="7">
        <v>3281.0</v>
      </c>
      <c r="L13" s="12">
        <v>3017.0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22</v>
      </c>
      <c r="B14" s="1" t="s">
        <v>24</v>
      </c>
      <c r="C14" s="6">
        <f>2442*3.5+88</f>
        <v>8635</v>
      </c>
      <c r="D14" s="7">
        <v>10.0</v>
      </c>
      <c r="E14" s="7">
        <v>2888.0</v>
      </c>
      <c r="F14" s="7">
        <v>3852.0</v>
      </c>
      <c r="G14" s="13">
        <f t="shared" si="1"/>
        <v>3370</v>
      </c>
      <c r="H14" s="7">
        <v>420.0</v>
      </c>
      <c r="I14" s="7">
        <v>380.0</v>
      </c>
      <c r="J14" s="2"/>
      <c r="K14" s="7">
        <v>3294.0</v>
      </c>
      <c r="L14" s="12">
        <v>3006.0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/>
      <c r="B15" s="2"/>
      <c r="C15" s="8"/>
      <c r="D15" s="8"/>
      <c r="E15" s="8"/>
      <c r="F15" s="8"/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/>
      <c r="B16" s="2"/>
      <c r="C16" s="8"/>
      <c r="D16" s="8"/>
      <c r="E16" s="8"/>
      <c r="F16" s="8"/>
      <c r="G16" s="8"/>
      <c r="H16" s="8"/>
      <c r="I16" s="8"/>
      <c r="J16" s="2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/>
      <c r="B17" s="3"/>
      <c r="C17" s="4"/>
      <c r="D17" s="4"/>
      <c r="E17" s="4"/>
      <c r="F17" s="4"/>
      <c r="G17" s="4"/>
      <c r="H17" s="4"/>
      <c r="I17" s="4"/>
      <c r="J17" s="2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13"/>
      <c r="D18" s="13"/>
      <c r="E18" s="13"/>
      <c r="F18" s="13"/>
      <c r="G18" s="13"/>
      <c r="H18" s="13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13"/>
      <c r="D19" s="13"/>
      <c r="E19" s="13"/>
      <c r="F19" s="13"/>
      <c r="G19" s="13"/>
      <c r="H19" s="13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13"/>
      <c r="D20" s="13"/>
      <c r="E20" s="13"/>
      <c r="F20" s="13"/>
      <c r="G20" s="13"/>
      <c r="H20" s="13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/>
      <c r="B21" s="2"/>
      <c r="C21" s="13"/>
      <c r="D21" s="13"/>
      <c r="E21" s="13"/>
      <c r="F21" s="13"/>
      <c r="G21" s="13"/>
      <c r="H21" s="13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/>
      <c r="B22" s="2"/>
      <c r="C22" s="13"/>
      <c r="D22" s="13"/>
      <c r="E22" s="13"/>
      <c r="F22" s="13"/>
      <c r="G22" s="13"/>
      <c r="H22" s="13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13"/>
      <c r="D23" s="13"/>
      <c r="E23" s="13"/>
      <c r="F23" s="13"/>
      <c r="G23" s="13"/>
      <c r="H23" s="13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/>
      <c r="B31" s="1"/>
      <c r="C31" s="6"/>
      <c r="D31" s="7"/>
      <c r="E31" s="7"/>
      <c r="F31" s="7"/>
      <c r="G31" s="8"/>
      <c r="H31" s="7"/>
      <c r="I31" s="7"/>
      <c r="J31" s="2"/>
      <c r="K31" s="9"/>
      <c r="L31" s="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13"/>
      <c r="D32" s="13"/>
      <c r="E32" s="13"/>
      <c r="F32" s="13"/>
      <c r="G32" s="13"/>
      <c r="H32" s="13"/>
      <c r="I32" s="1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</sheetData>
  <drawing r:id="rId4"/>
  <legacyDrawing r:id="rId5"/>
</worksheet>
</file>